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birdfromsky/Projects/rassvet-webapp/temp/"/>
    </mc:Choice>
  </mc:AlternateContent>
  <xr:revisionPtr revIDLastSave="0" documentId="8_{CA848633-8EFE-2441-9856-788FC295F9C5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июн26" sheetId="57" r:id="rId1"/>
  </sheets>
  <definedNames>
    <definedName name="_xlnm.Print_Area" localSheetId="0">июн26!$B$1:$N$65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9" i="57" l="1"/>
  <c r="N48" i="57"/>
  <c r="L48" i="57"/>
  <c r="N47" i="57"/>
  <c r="L47" i="57"/>
  <c r="N46" i="57"/>
  <c r="L46" i="57"/>
  <c r="N45" i="57"/>
  <c r="L45" i="57"/>
  <c r="N44" i="57"/>
  <c r="L44" i="57"/>
  <c r="N43" i="57"/>
  <c r="L43" i="57"/>
  <c r="N42" i="57"/>
  <c r="L42" i="57"/>
  <c r="N41" i="57"/>
  <c r="L41" i="57"/>
  <c r="N40" i="57"/>
  <c r="L40" i="57"/>
  <c r="N39" i="57"/>
  <c r="L39" i="57"/>
  <c r="N38" i="57"/>
  <c r="L38" i="57"/>
  <c r="N37" i="57"/>
  <c r="L37" i="57"/>
  <c r="N36" i="57"/>
  <c r="L36" i="57"/>
  <c r="N35" i="57"/>
  <c r="L35" i="57"/>
  <c r="N33" i="57"/>
  <c r="L33" i="57"/>
  <c r="N32" i="57"/>
  <c r="L32" i="57"/>
  <c r="N31" i="57"/>
  <c r="L31" i="57"/>
  <c r="N29" i="57"/>
  <c r="L29" i="57"/>
  <c r="N28" i="57"/>
  <c r="L28" i="57"/>
  <c r="N26" i="57"/>
  <c r="L26" i="57"/>
  <c r="N24" i="57"/>
  <c r="L24" i="57"/>
  <c r="N23" i="57"/>
  <c r="L23" i="57"/>
  <c r="N22" i="57"/>
  <c r="L22" i="57"/>
  <c r="N21" i="57"/>
  <c r="L21" i="57"/>
  <c r="N20" i="57"/>
  <c r="L20" i="57"/>
  <c r="L49" i="57" l="1"/>
  <c r="N49" i="57"/>
</calcChain>
</file>

<file path=xl/sharedStrings.xml><?xml version="1.0" encoding="utf-8"?>
<sst xmlns="http://schemas.openxmlformats.org/spreadsheetml/2006/main" count="114" uniqueCount="78">
  <si>
    <t>Акт</t>
  </si>
  <si>
    <t>сдачи-приемки оказанных социальных услуг</t>
  </si>
  <si>
    <t>(организационно-правовая форма, наименование)</t>
  </si>
  <si>
    <t>(фамилия, имя, отчество, дата рождения, паспортные данные)</t>
  </si>
  <si>
    <t>№ п/п</t>
  </si>
  <si>
    <t>Наименование услуги (подуслуги)</t>
  </si>
  <si>
    <t>Периодичность оказания социальных услуг</t>
  </si>
  <si>
    <t>Стандартное время оказания услуг (мин.)</t>
  </si>
  <si>
    <t>Расчет и ндивидуального тарифа на социальную услугу (подуслугу) при оказании групповых услуг</t>
  </si>
  <si>
    <t>Количество фактически предоставленных услуг/фактически затраченных минут</t>
  </si>
  <si>
    <t>Сумма (руб.)</t>
  </si>
  <si>
    <t>минут</t>
  </si>
  <si>
    <t>услуг</t>
  </si>
  <si>
    <t>1.Социально-бытовые</t>
  </si>
  <si>
    <t>3 раз(а) в день</t>
  </si>
  <si>
    <t>-</t>
  </si>
  <si>
    <t>2.Социально-медицинские</t>
  </si>
  <si>
    <t>4.Социально-педагогические</t>
  </si>
  <si>
    <t>7. Услуги в целях повышения коммуникативного потенциала получателей социальных услуг, имеющих ограничения жизнедеятельности, в том числе детей-инвалидов</t>
  </si>
  <si>
    <t>002.1.25 Проведение мероприятий ИПРА – Проведение социокультурной реабилитации (организация досуга) (полустационарное обслуживание)</t>
  </si>
  <si>
    <t>002.1.21 Проведение мероприятий ИПРА – педагогическая коррекция (полустационарное обслуживание)</t>
  </si>
  <si>
    <t>003 Обучение навыкам поведения в быту и общественных местах (полустационарное обслуживание)</t>
  </si>
  <si>
    <t>Итого:</t>
  </si>
  <si>
    <r>
      <rPr>
        <sz val="16"/>
        <color rgb="FF000000"/>
        <rFont val="Times New Roman"/>
        <family val="1"/>
        <charset val="204"/>
      </rPr>
      <t xml:space="preserve">Льготная категория Заказчика           </t>
    </r>
    <r>
      <rPr>
        <u/>
        <sz val="16"/>
        <color rgb="FF000000"/>
        <rFont val="Times New Roman"/>
        <family val="1"/>
        <charset val="204"/>
      </rPr>
      <t>(бесплатно)</t>
    </r>
  </si>
  <si>
    <t xml:space="preserve">                                    (платно, бесплатно, частично за плату)</t>
  </si>
  <si>
    <r>
      <rPr>
        <sz val="16"/>
        <color rgb="FF000000"/>
        <rFont val="Times New Roman"/>
        <family val="1"/>
        <charset val="204"/>
      </rPr>
      <t xml:space="preserve">Среднедушевой доход Заказчика (СДД)   </t>
    </r>
    <r>
      <rPr>
        <u/>
        <sz val="16"/>
        <color rgb="FF000000"/>
        <rFont val="Times New Roman"/>
        <family val="1"/>
        <charset val="204"/>
      </rPr>
      <t xml:space="preserve">0,00 </t>
    </r>
    <r>
      <rPr>
        <sz val="16"/>
        <color rgb="FF000000"/>
        <rFont val="Times New Roman"/>
        <family val="1"/>
        <charset val="204"/>
      </rPr>
      <t xml:space="preserve">  руб.</t>
    </r>
  </si>
  <si>
    <r>
      <rPr>
        <sz val="16"/>
        <color rgb="FF000000"/>
        <rFont val="Times New Roman"/>
        <family val="1"/>
        <charset val="204"/>
      </rPr>
      <t xml:space="preserve">50% разницы между СДД и предельной величиной СДД Заказчика    </t>
    </r>
    <r>
      <rPr>
        <u/>
        <sz val="16"/>
        <color rgb="FF000000"/>
        <rFont val="Times New Roman"/>
        <family val="1"/>
        <charset val="204"/>
      </rPr>
      <t>0,00</t>
    </r>
    <r>
      <rPr>
        <sz val="16"/>
        <color rgb="FF000000"/>
        <rFont val="Times New Roman"/>
        <family val="1"/>
        <charset val="204"/>
      </rPr>
      <t xml:space="preserve">   руб.                                                        </t>
    </r>
  </si>
  <si>
    <r>
      <rPr>
        <sz val="16"/>
        <color rgb="FF000000"/>
        <rFont val="Times New Roman"/>
        <family val="1"/>
        <charset val="204"/>
      </rPr>
      <t xml:space="preserve">Итого к оплате   </t>
    </r>
    <r>
      <rPr>
        <u/>
        <sz val="16"/>
        <color rgb="FF000000"/>
        <rFont val="Times New Roman"/>
        <family val="1"/>
        <charset val="204"/>
      </rPr>
      <t>0,00</t>
    </r>
    <r>
      <rPr>
        <sz val="16"/>
        <color rgb="FF000000"/>
        <rFont val="Times New Roman"/>
        <family val="1"/>
        <charset val="204"/>
      </rPr>
      <t xml:space="preserve">    руб.</t>
    </r>
  </si>
  <si>
    <r>
      <rPr>
        <sz val="16"/>
        <color rgb="FF000000"/>
        <rFont val="Times New Roman"/>
        <family val="1"/>
        <charset val="204"/>
      </rPr>
      <t xml:space="preserve">Доплата за предоставленные услуги в месяц  </t>
    </r>
    <r>
      <rPr>
        <u/>
        <sz val="16"/>
        <color rgb="FF000000"/>
        <rFont val="Times New Roman"/>
        <family val="1"/>
        <charset val="204"/>
      </rPr>
      <t xml:space="preserve">100%
</t>
    </r>
  </si>
  <si>
    <t>Вышеперечисленные услуги оказаны полностью и в установленный срок.</t>
  </si>
  <si>
    <t>Заказчик претензий по объему, качеству и срокам оказания услуг претензий не имеет.</t>
  </si>
  <si>
    <t>Настоящий Акт сдачи-приемки оказанных  социальных услуг составлен в двух экземплярах, имеющих равную юридическую силу, по одному для каждой из Сторон.</t>
  </si>
  <si>
    <t>Исполнитель:</t>
  </si>
  <si>
    <t>(подпись)</t>
  </si>
  <si>
    <t>Заказчик:</t>
  </si>
  <si>
    <t>3.Социально-психологические</t>
  </si>
  <si>
    <t xml:space="preserve">001.03 Психологическая коррекция
(полустационарное обслуживание)
</t>
  </si>
  <si>
    <t>2 раз(а) в неделю</t>
  </si>
  <si>
    <t>2 раз(а) в месяц</t>
  </si>
  <si>
    <t>002.1.24 Проведение мероприятий ИПРА – Проведение социально-бытовой адаптации (обучение инвалида самообслуживанию)</t>
  </si>
  <si>
    <t>002.1.20 Проведение мероприятий ИПРА – социально-педагогическое консультирование (полустационарное обслуживание)</t>
  </si>
  <si>
    <t>002.1.19 Проведение мероприятий ИПРА – социально-педагогическая диагностика (полустационарное обслуживание)</t>
  </si>
  <si>
    <t>002.5 Проведение социально-реабилитационных мероприятий в сфере социального обслуживания – занятия в сенсорной комнате (полустационарное обслуживание)</t>
  </si>
  <si>
    <t>1 раз(а) в день</t>
  </si>
  <si>
    <t>1 раз(а) в месяц</t>
  </si>
  <si>
    <t>002.1.04 Проведение мероприятий ИПРА – трудотерапия  (полустационарное обслуживание)</t>
  </si>
  <si>
    <t>018 Помощь в приеме пищи (кормление) (полустационарное обслуживание)</t>
  </si>
  <si>
    <t xml:space="preserve"> -</t>
  </si>
  <si>
    <t>002.1.23 Проведение мероприятий ИПРА – логопедическая помощь (полустационарное обслуживание)</t>
  </si>
  <si>
    <t>1 в соответствии с ИППСУ</t>
  </si>
  <si>
    <t>Стоимость услуги (тариф) (руб.)</t>
  </si>
  <si>
    <t>2 раз(а) в день</t>
  </si>
  <si>
    <t>003 Систематическое наблюдение за получателем социальных услуг в целях выявления отклонений в состоянии их здоровья (полустационарное обслуживание)</t>
  </si>
  <si>
    <t xml:space="preserve">001.01 Cоциально-психологическое консультирование
(полустационарное обслуживание)
</t>
  </si>
  <si>
    <t>1 раз(а) в неделю</t>
  </si>
  <si>
    <t xml:space="preserve">3 раз(а) в неделю </t>
  </si>
  <si>
    <t>002.2 Проведение социально-реабилитационных мероприятий в сфере социального обслуживания - осуществление динамического контроля процесса реабилитации инвалидов (детей-инвалидов) (полустационарное обслуживание)</t>
  </si>
  <si>
    <t xml:space="preserve">1 раз(а) в неделю </t>
  </si>
  <si>
    <t>004 Оказание помощи в обучении навыкам компьютерной грамотности (группа до 5 человек) (полустационарное обслуживание)</t>
  </si>
  <si>
    <t>003.03 Социально-педагогическая коррекция (полустационарное обслуживание)</t>
  </si>
  <si>
    <t>003.02 Социально-педагогическая диагностика (полустационарное обслуживание)</t>
  </si>
  <si>
    <t>003.01 Социально-педагогическое консультирование (полустационарное обслуживание)</t>
  </si>
  <si>
    <t>2 раз(а)в месяц</t>
  </si>
  <si>
    <t>002.1.26 Проведение мероприятий ИПРА – Проведение оздоровительных мероприятий (полустационарное обслуживание)</t>
  </si>
  <si>
    <t>002.1.18 Проведение мероприятий ИПРА – психологическая поддержка (полустационарное обслуживание)</t>
  </si>
  <si>
    <t>002.1.15 Проведение социально-реабилитационных мероприятий в сфере социального обслуживания - проведение мероприятий ИПРА - психологическая профилактика (полустационарное обслуживание)</t>
  </si>
  <si>
    <t>к договору о предоставлении социальных услуг от «01» октября 2025 года №181-ХМ</t>
  </si>
  <si>
    <t>10 раз за курс</t>
  </si>
  <si>
    <t>О. А. Якубенок</t>
  </si>
  <si>
    <t>от 30 июня 2026г.</t>
  </si>
  <si>
    <t>Исполнитель в период с «01» июня 2026г. по «30» июня 2026г. выполнил обязательства по оказанию услуг (работ)</t>
  </si>
  <si>
    <t>017.13 Предоставление (или помощь в осуществлении) гигиенических услуг лицам, не способным по состоянию здоровья самостоятельно осуществлять за собой уход - помощь в пользовании туалетом или судном (сопровождение в туалет или высаживание на судно, вынос судна (полустационарное обслуживание)</t>
  </si>
  <si>
    <t>017.10 Предоставление (или помощь в осуществлении) гигиенических услуг лицам, не способным по состоянию здоровья самостоятельно осуществлять за собой уход - помощь в одевании и переодевании (полустационарное обслуживание)</t>
  </si>
  <si>
    <t>017.06 Предоставление (или помощь в осуществлении) гигиенических услуг лицам, не способным по состоянию здоровья самостоятельно осуществлять за собой уход - обтирание, обмывание, гигиенические ванны (полустационарное обслуживание)</t>
  </si>
  <si>
    <t>017.01 Предоставление (или помощь в осуществлении) гигиенических услуг лицам, не способным по состоянию здоровья самостоятельно осуществлять за собой уход - умывание, помощь в умывании (полустационарное обслуживание)</t>
  </si>
  <si>
    <r>
      <rPr>
        <sz val="16"/>
        <rFont val="Times New Roman"/>
        <family val="1"/>
        <charset val="204"/>
      </rPr>
      <t xml:space="preserve">Объем средств бюджета Ханты-Мансийского автономного округа – Югры </t>
    </r>
    <r>
      <rPr>
        <u/>
        <sz val="16"/>
        <rFont val="Times New Roman"/>
        <family val="1"/>
        <charset val="204"/>
      </rPr>
      <t>61342</t>
    </r>
    <r>
      <rPr>
        <sz val="16"/>
        <rFont val="Times New Roman"/>
        <family val="1"/>
        <charset val="204"/>
      </rPr>
      <t xml:space="preserve"> руб. </t>
    </r>
    <r>
      <rPr>
        <u/>
        <sz val="16"/>
        <rFont val="Times New Roman"/>
        <family val="1"/>
        <charset val="204"/>
      </rPr>
      <t>69</t>
    </r>
    <r>
      <rPr>
        <sz val="16"/>
        <rFont val="Times New Roman"/>
        <family val="1"/>
        <charset val="204"/>
      </rPr>
      <t xml:space="preserve"> коп.</t>
    </r>
  </si>
  <si>
    <t>(расшифровка подписи)</t>
  </si>
  <si>
    <r>
      <rPr>
        <sz val="16"/>
        <rFont val="Times New Roman"/>
        <family val="1"/>
        <charset val="204"/>
      </rPr>
      <t xml:space="preserve">Исполнитель </t>
    </r>
    <r>
      <rPr>
        <u/>
        <sz val="16"/>
        <rFont val="Times New Roman"/>
        <family val="1"/>
        <charset val="204"/>
      </rPr>
      <t>Индивидуальный предприниматель Якубенок Оксана Александровна, именуемый в дальнейшем «Исполнитель», действующий на основании свидетельства ОГРНИП 322861700049819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</si>
</sst>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204"/>
    </font>
    <font>
      <b/>
      <sz val="16"/>
      <color rgb="FF00000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u/>
      <sz val="16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rgb="FFFF0000"/>
      <name val="Calibri"/>
      <family val="2"/>
      <charset val="204"/>
    </font>
    <font>
      <sz val="11"/>
      <color rgb="FF000000"/>
      <name val="Times New Roman"/>
      <family val="1"/>
      <charset val="204"/>
    </font>
    <font>
      <u/>
      <sz val="10"/>
      <color rgb="FF000000"/>
      <name val="Times New Roman"/>
      <family val="1"/>
      <charset val="204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5" fillId="0" borderId="0" xfId="0" applyFont="1"/>
    <xf numFmtId="0" fontId="11" fillId="0" borderId="2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 wrapText="1"/>
    </xf>
    <xf numFmtId="2" fontId="15" fillId="0" borderId="0" xfId="0" applyNumberFormat="1" applyFont="1"/>
    <xf numFmtId="2" fontId="14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vertical="top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center" wrapText="1"/>
    </xf>
    <xf numFmtId="2" fontId="12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/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wrapText="1"/>
    </xf>
    <xf numFmtId="0" fontId="8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/>
    </xf>
    <xf numFmtId="0" fontId="9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13" fillId="0" borderId="0" xfId="0" applyFont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67"/>
  <sheetViews>
    <sheetView tabSelected="1" topLeftCell="A2" zoomScale="90" zoomScaleNormal="90" workbookViewId="0">
      <selection activeCell="Q12" sqref="Q12"/>
    </sheetView>
  </sheetViews>
  <sheetFormatPr baseColWidth="10" defaultColWidth="8.6640625" defaultRowHeight="15" x14ac:dyDescent="0.2"/>
  <cols>
    <col min="1" max="1" width="8" customWidth="1"/>
    <col min="2" max="2" width="6.33203125" customWidth="1"/>
    <col min="3" max="3" width="9.1640625" customWidth="1"/>
    <col min="4" max="4" width="49.5" customWidth="1"/>
    <col min="5" max="5" width="9.1640625" customWidth="1"/>
    <col min="6" max="6" width="7.6640625" customWidth="1"/>
    <col min="7" max="7" width="11.6640625" customWidth="1"/>
    <col min="8" max="8" width="10.1640625" customWidth="1"/>
    <col min="9" max="9" width="6.5" customWidth="1"/>
    <col min="10" max="10" width="4.5" customWidth="1"/>
    <col min="11" max="11" width="4.6640625" customWidth="1"/>
    <col min="12" max="12" width="10.1640625" customWidth="1"/>
    <col min="13" max="13" width="9.5" customWidth="1"/>
    <col min="14" max="14" width="11.6640625" customWidth="1"/>
    <col min="15" max="15" width="14.6640625" customWidth="1"/>
  </cols>
  <sheetData>
    <row r="1" spans="2:14" ht="20" x14ac:dyDescent="0.2">
      <c r="B1" s="27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2:14" ht="20" x14ac:dyDescent="0.2">
      <c r="B2" s="27" t="s">
        <v>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2:14" ht="18.75" customHeight="1" x14ac:dyDescent="0.2">
      <c r="B3" s="1"/>
      <c r="C3" s="1"/>
      <c r="D3" s="28" t="s">
        <v>69</v>
      </c>
      <c r="E3" s="28"/>
      <c r="F3" s="28"/>
      <c r="G3" s="28"/>
      <c r="H3" s="28"/>
      <c r="I3" s="28"/>
      <c r="J3" s="28"/>
      <c r="K3" s="28"/>
      <c r="L3" s="28"/>
      <c r="M3" s="28"/>
      <c r="N3" s="1"/>
    </row>
    <row r="4" spans="2:14" ht="9" customHeight="1" x14ac:dyDescent="0.2"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4" ht="15" customHeight="1" x14ac:dyDescent="0.2">
      <c r="B5" s="29" t="s">
        <v>66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2:14" ht="7.5" customHeight="1" x14ac:dyDescent="0.2">
      <c r="B6" s="30"/>
      <c r="C6" s="30"/>
      <c r="D6" s="30"/>
      <c r="E6" s="3"/>
      <c r="F6" s="3"/>
      <c r="G6" s="3"/>
      <c r="H6" s="3"/>
      <c r="I6" s="31"/>
      <c r="J6" s="31"/>
      <c r="K6" s="31"/>
      <c r="L6" s="31"/>
      <c r="M6" s="31"/>
      <c r="N6" s="32"/>
    </row>
    <row r="7" spans="2:14" ht="14.25" customHeight="1" x14ac:dyDescent="0.2">
      <c r="B7" s="33" t="s">
        <v>77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</row>
    <row r="8" spans="2:14" ht="15" customHeight="1" x14ac:dyDescent="0.2"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2"/>
    </row>
    <row r="9" spans="2:14" ht="9.75" customHeight="1" x14ac:dyDescent="0.2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2"/>
    </row>
    <row r="10" spans="2:14" ht="12" customHeight="1" x14ac:dyDescent="0.2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2"/>
    </row>
    <row r="11" spans="2:14" ht="13.5" customHeight="1" x14ac:dyDescent="0.2">
      <c r="B11" s="34" t="s">
        <v>2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</row>
    <row r="12" spans="2:14" ht="66" customHeight="1" x14ac:dyDescent="0.2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</row>
    <row r="13" spans="2:14" ht="18" customHeight="1" x14ac:dyDescent="0.2">
      <c r="B13" s="34" t="s">
        <v>3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</row>
    <row r="14" spans="2:14" ht="45" customHeight="1" x14ac:dyDescent="0.2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2:14" ht="21.75" customHeight="1" x14ac:dyDescent="0.2">
      <c r="B15" s="37" t="s">
        <v>3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spans="2:14" ht="41.25" customHeight="1" x14ac:dyDescent="0.2">
      <c r="B16" s="38" t="s">
        <v>70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2:15" ht="93" customHeight="1" x14ac:dyDescent="0.2">
      <c r="B17" s="39" t="s">
        <v>4</v>
      </c>
      <c r="C17" s="39" t="s">
        <v>5</v>
      </c>
      <c r="D17" s="39"/>
      <c r="E17" s="39" t="s">
        <v>6</v>
      </c>
      <c r="F17" s="39"/>
      <c r="G17" s="40" t="s">
        <v>7</v>
      </c>
      <c r="H17" s="39" t="s">
        <v>50</v>
      </c>
      <c r="I17" s="41" t="s">
        <v>8</v>
      </c>
      <c r="J17" s="41"/>
      <c r="K17" s="41"/>
      <c r="L17" s="39" t="s">
        <v>9</v>
      </c>
      <c r="M17" s="39"/>
      <c r="N17" s="39" t="s">
        <v>10</v>
      </c>
    </row>
    <row r="18" spans="2:15" ht="33" customHeight="1" x14ac:dyDescent="0.2">
      <c r="B18" s="39"/>
      <c r="C18" s="39"/>
      <c r="D18" s="39"/>
      <c r="E18" s="39"/>
      <c r="F18" s="39"/>
      <c r="G18" s="40"/>
      <c r="H18" s="39"/>
      <c r="I18" s="41"/>
      <c r="J18" s="41"/>
      <c r="K18" s="41"/>
      <c r="L18" s="4" t="s">
        <v>11</v>
      </c>
      <c r="M18" s="4" t="s">
        <v>12</v>
      </c>
      <c r="N18" s="39"/>
    </row>
    <row r="19" spans="2:15" ht="22.5" customHeight="1" x14ac:dyDescent="0.2">
      <c r="B19" s="42" t="s">
        <v>13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</row>
    <row r="20" spans="2:15" ht="93" customHeight="1" x14ac:dyDescent="0.2">
      <c r="B20" s="5">
        <v>1</v>
      </c>
      <c r="C20" s="43" t="s">
        <v>71</v>
      </c>
      <c r="D20" s="43"/>
      <c r="E20" s="44" t="s">
        <v>14</v>
      </c>
      <c r="F20" s="44"/>
      <c r="G20" s="6">
        <v>10</v>
      </c>
      <c r="H20" s="6">
        <v>124.92</v>
      </c>
      <c r="I20" s="44"/>
      <c r="J20" s="44"/>
      <c r="K20" s="44"/>
      <c r="L20" s="6">
        <f>M20*G20</f>
        <v>630</v>
      </c>
      <c r="M20" s="7">
        <v>63</v>
      </c>
      <c r="N20" s="8">
        <f>M20*H20</f>
        <v>7869.96</v>
      </c>
      <c r="O20" s="9"/>
    </row>
    <row r="21" spans="2:15" ht="79.5" customHeight="1" x14ac:dyDescent="0.2">
      <c r="B21" s="5">
        <v>2</v>
      </c>
      <c r="C21" s="43" t="s">
        <v>72</v>
      </c>
      <c r="D21" s="43"/>
      <c r="E21" s="44" t="s">
        <v>51</v>
      </c>
      <c r="F21" s="44"/>
      <c r="G21" s="6">
        <v>10</v>
      </c>
      <c r="H21" s="6">
        <v>124.92</v>
      </c>
      <c r="I21" s="44"/>
      <c r="J21" s="44"/>
      <c r="K21" s="44"/>
      <c r="L21" s="6">
        <f>M21*G21</f>
        <v>420</v>
      </c>
      <c r="M21" s="7">
        <v>42</v>
      </c>
      <c r="N21" s="8">
        <f>M21*H21</f>
        <v>5246.64</v>
      </c>
    </row>
    <row r="22" spans="2:15" ht="79.5" customHeight="1" x14ac:dyDescent="0.2">
      <c r="B22" s="5">
        <v>3</v>
      </c>
      <c r="C22" s="43" t="s">
        <v>73</v>
      </c>
      <c r="D22" s="43"/>
      <c r="E22" s="44" t="s">
        <v>43</v>
      </c>
      <c r="F22" s="44"/>
      <c r="G22" s="6">
        <v>15</v>
      </c>
      <c r="H22" s="4">
        <v>187.39</v>
      </c>
      <c r="I22" s="44" t="s">
        <v>47</v>
      </c>
      <c r="J22" s="44"/>
      <c r="K22" s="44"/>
      <c r="L22" s="6">
        <f>M22*G22</f>
        <v>315</v>
      </c>
      <c r="M22" s="7">
        <v>21</v>
      </c>
      <c r="N22" s="8">
        <f>M22*H22</f>
        <v>3935.1899999999996</v>
      </c>
    </row>
    <row r="23" spans="2:15" ht="78" customHeight="1" x14ac:dyDescent="0.2">
      <c r="B23" s="5">
        <v>4</v>
      </c>
      <c r="C23" s="43" t="s">
        <v>74</v>
      </c>
      <c r="D23" s="43"/>
      <c r="E23" s="44" t="s">
        <v>14</v>
      </c>
      <c r="F23" s="44"/>
      <c r="G23" s="6">
        <v>5</v>
      </c>
      <c r="H23" s="6">
        <v>62.45</v>
      </c>
      <c r="I23" s="44"/>
      <c r="J23" s="44"/>
      <c r="K23" s="44"/>
      <c r="L23" s="6">
        <f>M23*G23</f>
        <v>315</v>
      </c>
      <c r="M23" s="7">
        <v>63</v>
      </c>
      <c r="N23" s="8">
        <f>M23*H23</f>
        <v>3934.3500000000004</v>
      </c>
    </row>
    <row r="24" spans="2:15" ht="43.5" customHeight="1" x14ac:dyDescent="0.2">
      <c r="B24" s="5">
        <v>5</v>
      </c>
      <c r="C24" s="43" t="s">
        <v>46</v>
      </c>
      <c r="D24" s="43"/>
      <c r="E24" s="44" t="s">
        <v>49</v>
      </c>
      <c r="F24" s="44"/>
      <c r="G24" s="6">
        <v>20</v>
      </c>
      <c r="H24" s="25">
        <v>241.97</v>
      </c>
      <c r="I24" s="44" t="s">
        <v>47</v>
      </c>
      <c r="J24" s="44"/>
      <c r="K24" s="44"/>
      <c r="L24" s="6">
        <f>M24*G24</f>
        <v>200</v>
      </c>
      <c r="M24" s="7">
        <v>10</v>
      </c>
      <c r="N24" s="8">
        <f>M24*H24</f>
        <v>2419.6999999999998</v>
      </c>
    </row>
    <row r="25" spans="2:15" ht="21" customHeight="1" x14ac:dyDescent="0.2">
      <c r="B25" s="42" t="s">
        <v>16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2:15" ht="54" customHeight="1" x14ac:dyDescent="0.2">
      <c r="B26" s="10">
        <v>1</v>
      </c>
      <c r="C26" s="45" t="s">
        <v>52</v>
      </c>
      <c r="D26" s="45"/>
      <c r="E26" s="39" t="s">
        <v>43</v>
      </c>
      <c r="F26" s="39"/>
      <c r="G26" s="4">
        <v>15</v>
      </c>
      <c r="H26" s="4">
        <v>204.78</v>
      </c>
      <c r="I26" s="44" t="s">
        <v>15</v>
      </c>
      <c r="J26" s="44"/>
      <c r="K26" s="44"/>
      <c r="L26" s="4">
        <f>M26*G26</f>
        <v>195</v>
      </c>
      <c r="M26" s="11">
        <v>13</v>
      </c>
      <c r="N26" s="8">
        <f>M26*H26</f>
        <v>2662.14</v>
      </c>
    </row>
    <row r="27" spans="2:15" ht="19.5" customHeight="1" x14ac:dyDescent="0.2">
      <c r="B27" s="42" t="s">
        <v>35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2:15" ht="37.5" customHeight="1" x14ac:dyDescent="0.2">
      <c r="B28" s="10">
        <v>1</v>
      </c>
      <c r="C28" s="45" t="s">
        <v>36</v>
      </c>
      <c r="D28" s="45"/>
      <c r="E28" s="39" t="s">
        <v>37</v>
      </c>
      <c r="F28" s="39"/>
      <c r="G28" s="4">
        <v>40</v>
      </c>
      <c r="H28" s="4">
        <v>474.29</v>
      </c>
      <c r="I28" s="44" t="s">
        <v>15</v>
      </c>
      <c r="J28" s="44"/>
      <c r="K28" s="44"/>
      <c r="L28" s="4">
        <f>M28*G28</f>
        <v>320</v>
      </c>
      <c r="M28" s="11">
        <v>8</v>
      </c>
      <c r="N28" s="8">
        <f>M28*H28</f>
        <v>3794.32</v>
      </c>
    </row>
    <row r="29" spans="2:15" ht="39" customHeight="1" x14ac:dyDescent="0.2">
      <c r="B29" s="10">
        <v>2</v>
      </c>
      <c r="C29" s="45" t="s">
        <v>53</v>
      </c>
      <c r="D29" s="45"/>
      <c r="E29" s="39" t="s">
        <v>38</v>
      </c>
      <c r="F29" s="39"/>
      <c r="G29" s="4">
        <v>40</v>
      </c>
      <c r="H29" s="4">
        <v>474.29</v>
      </c>
      <c r="I29" s="44" t="s">
        <v>15</v>
      </c>
      <c r="J29" s="44"/>
      <c r="K29" s="44"/>
      <c r="L29" s="4">
        <f>M29*G29</f>
        <v>80</v>
      </c>
      <c r="M29" s="11">
        <v>2</v>
      </c>
      <c r="N29" s="8">
        <f>M29*H29</f>
        <v>948.58</v>
      </c>
    </row>
    <row r="30" spans="2:15" ht="21.75" customHeight="1" x14ac:dyDescent="0.2">
      <c r="B30" s="42" t="s">
        <v>17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</row>
    <row r="31" spans="2:15" ht="36.75" customHeight="1" x14ac:dyDescent="0.2">
      <c r="B31" s="10">
        <v>1</v>
      </c>
      <c r="C31" s="45" t="s">
        <v>59</v>
      </c>
      <c r="D31" s="45"/>
      <c r="E31" s="39" t="s">
        <v>37</v>
      </c>
      <c r="F31" s="39"/>
      <c r="G31" s="4">
        <v>40</v>
      </c>
      <c r="H31" s="4">
        <v>474.29</v>
      </c>
      <c r="I31" s="44" t="s">
        <v>15</v>
      </c>
      <c r="J31" s="44"/>
      <c r="K31" s="44"/>
      <c r="L31" s="4">
        <f>M31*G31</f>
        <v>320</v>
      </c>
      <c r="M31" s="11">
        <v>8</v>
      </c>
      <c r="N31" s="8">
        <f>M31*H31</f>
        <v>3794.32</v>
      </c>
    </row>
    <row r="32" spans="2:15" ht="41.25" customHeight="1" x14ac:dyDescent="0.2">
      <c r="B32" s="10">
        <v>2</v>
      </c>
      <c r="C32" s="45" t="s">
        <v>60</v>
      </c>
      <c r="D32" s="45"/>
      <c r="E32" s="39" t="s">
        <v>44</v>
      </c>
      <c r="F32" s="39"/>
      <c r="G32" s="4">
        <v>30</v>
      </c>
      <c r="H32" s="4">
        <v>355.71</v>
      </c>
      <c r="I32" s="44" t="s">
        <v>15</v>
      </c>
      <c r="J32" s="44"/>
      <c r="K32" s="44"/>
      <c r="L32" s="4">
        <f>M32*G32</f>
        <v>30</v>
      </c>
      <c r="M32" s="11">
        <v>1</v>
      </c>
      <c r="N32" s="8">
        <f>M32*H32</f>
        <v>355.71</v>
      </c>
    </row>
    <row r="33" spans="2:16" ht="36" customHeight="1" x14ac:dyDescent="0.2">
      <c r="B33" s="10">
        <v>3</v>
      </c>
      <c r="C33" s="45" t="s">
        <v>61</v>
      </c>
      <c r="D33" s="45"/>
      <c r="E33" s="39" t="s">
        <v>62</v>
      </c>
      <c r="F33" s="39"/>
      <c r="G33" s="4">
        <v>40</v>
      </c>
      <c r="H33" s="4">
        <v>474.29</v>
      </c>
      <c r="I33" s="44" t="s">
        <v>15</v>
      </c>
      <c r="J33" s="44"/>
      <c r="K33" s="44"/>
      <c r="L33" s="4">
        <f>M33*G33</f>
        <v>80</v>
      </c>
      <c r="M33" s="11">
        <v>2</v>
      </c>
      <c r="N33" s="8">
        <f>M33*H33</f>
        <v>948.58</v>
      </c>
    </row>
    <row r="34" spans="2:16" ht="36" customHeight="1" x14ac:dyDescent="0.2">
      <c r="B34" s="46" t="s">
        <v>18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</row>
    <row r="35" spans="2:16" ht="54.75" customHeight="1" x14ac:dyDescent="0.2">
      <c r="B35" s="5">
        <v>1</v>
      </c>
      <c r="C35" s="43" t="s">
        <v>63</v>
      </c>
      <c r="D35" s="43"/>
      <c r="E35" s="44" t="s">
        <v>37</v>
      </c>
      <c r="F35" s="44"/>
      <c r="G35" s="6">
        <v>15</v>
      </c>
      <c r="H35" s="26">
        <v>177.84</v>
      </c>
      <c r="I35" s="44" t="s">
        <v>15</v>
      </c>
      <c r="J35" s="44"/>
      <c r="K35" s="44"/>
      <c r="L35" s="6">
        <f t="shared" ref="L35:L48" si="0">M35*G35</f>
        <v>120</v>
      </c>
      <c r="M35" s="7">
        <v>8</v>
      </c>
      <c r="N35" s="8">
        <f t="shared" ref="N35:N48" si="1">M35*H35</f>
        <v>1422.72</v>
      </c>
    </row>
    <row r="36" spans="2:16" ht="52.5" customHeight="1" x14ac:dyDescent="0.2">
      <c r="B36" s="5">
        <v>2</v>
      </c>
      <c r="C36" s="43" t="s">
        <v>19</v>
      </c>
      <c r="D36" s="43"/>
      <c r="E36" s="39" t="s">
        <v>54</v>
      </c>
      <c r="F36" s="39"/>
      <c r="G36" s="6">
        <v>30</v>
      </c>
      <c r="H36" s="6">
        <v>355.71</v>
      </c>
      <c r="I36" s="44" t="s">
        <v>15</v>
      </c>
      <c r="J36" s="44"/>
      <c r="K36" s="44"/>
      <c r="L36" s="6">
        <f t="shared" si="0"/>
        <v>120</v>
      </c>
      <c r="M36" s="7">
        <v>4</v>
      </c>
      <c r="N36" s="8">
        <f t="shared" si="1"/>
        <v>1422.84</v>
      </c>
    </row>
    <row r="37" spans="2:16" ht="50.25" customHeight="1" x14ac:dyDescent="0.2">
      <c r="B37" s="5">
        <v>3</v>
      </c>
      <c r="C37" s="43" t="s">
        <v>39</v>
      </c>
      <c r="D37" s="43"/>
      <c r="E37" s="44" t="s">
        <v>37</v>
      </c>
      <c r="F37" s="44"/>
      <c r="G37" s="6">
        <v>30</v>
      </c>
      <c r="H37" s="6">
        <v>355.71</v>
      </c>
      <c r="I37" s="44" t="s">
        <v>15</v>
      </c>
      <c r="J37" s="44"/>
      <c r="K37" s="44"/>
      <c r="L37" s="6">
        <f t="shared" si="0"/>
        <v>240</v>
      </c>
      <c r="M37" s="7">
        <v>8</v>
      </c>
      <c r="N37" s="8">
        <f t="shared" si="1"/>
        <v>2845.68</v>
      </c>
    </row>
    <row r="38" spans="2:16" ht="36.75" customHeight="1" x14ac:dyDescent="0.2">
      <c r="B38" s="5">
        <v>4</v>
      </c>
      <c r="C38" s="45" t="s">
        <v>48</v>
      </c>
      <c r="D38" s="45"/>
      <c r="E38" s="44" t="s">
        <v>37</v>
      </c>
      <c r="F38" s="44"/>
      <c r="G38" s="6">
        <v>30</v>
      </c>
      <c r="H38" s="6">
        <v>355.71</v>
      </c>
      <c r="I38" s="44" t="s">
        <v>15</v>
      </c>
      <c r="J38" s="44"/>
      <c r="K38" s="44"/>
      <c r="L38" s="6">
        <f t="shared" si="0"/>
        <v>240</v>
      </c>
      <c r="M38" s="7">
        <v>8</v>
      </c>
      <c r="N38" s="8">
        <f t="shared" si="1"/>
        <v>2845.68</v>
      </c>
    </row>
    <row r="39" spans="2:16" ht="39.75" customHeight="1" x14ac:dyDescent="0.2">
      <c r="B39" s="5">
        <v>5</v>
      </c>
      <c r="C39" s="45" t="s">
        <v>20</v>
      </c>
      <c r="D39" s="45"/>
      <c r="E39" s="44" t="s">
        <v>54</v>
      </c>
      <c r="F39" s="44"/>
      <c r="G39" s="6">
        <v>40</v>
      </c>
      <c r="H39" s="6">
        <v>474.29</v>
      </c>
      <c r="I39" s="44" t="s">
        <v>15</v>
      </c>
      <c r="J39" s="44"/>
      <c r="K39" s="44"/>
      <c r="L39" s="6">
        <f t="shared" si="0"/>
        <v>160</v>
      </c>
      <c r="M39" s="7">
        <v>4</v>
      </c>
      <c r="N39" s="8">
        <f t="shared" si="1"/>
        <v>1897.16</v>
      </c>
    </row>
    <row r="40" spans="2:16" ht="49.5" customHeight="1" x14ac:dyDescent="0.2">
      <c r="B40" s="5">
        <v>6</v>
      </c>
      <c r="C40" s="45" t="s">
        <v>40</v>
      </c>
      <c r="D40" s="45"/>
      <c r="E40" s="44" t="s">
        <v>38</v>
      </c>
      <c r="F40" s="44"/>
      <c r="G40" s="6">
        <v>40</v>
      </c>
      <c r="H40" s="6">
        <v>474.29</v>
      </c>
      <c r="I40" s="44" t="s">
        <v>15</v>
      </c>
      <c r="J40" s="44"/>
      <c r="K40" s="44"/>
      <c r="L40" s="6">
        <f t="shared" si="0"/>
        <v>80</v>
      </c>
      <c r="M40" s="7">
        <v>2</v>
      </c>
      <c r="N40" s="8">
        <f t="shared" si="1"/>
        <v>948.58</v>
      </c>
    </row>
    <row r="41" spans="2:16" ht="49.5" customHeight="1" x14ac:dyDescent="0.2">
      <c r="B41" s="5">
        <v>7</v>
      </c>
      <c r="C41" s="45" t="s">
        <v>41</v>
      </c>
      <c r="D41" s="45"/>
      <c r="E41" s="44" t="s">
        <v>44</v>
      </c>
      <c r="F41" s="44"/>
      <c r="G41" s="6">
        <v>30</v>
      </c>
      <c r="H41" s="6">
        <v>355.71</v>
      </c>
      <c r="I41" s="44" t="s">
        <v>15</v>
      </c>
      <c r="J41" s="44"/>
      <c r="K41" s="44"/>
      <c r="L41" s="6">
        <f t="shared" si="0"/>
        <v>30</v>
      </c>
      <c r="M41" s="7">
        <v>1</v>
      </c>
      <c r="N41" s="8">
        <f t="shared" si="1"/>
        <v>355.71</v>
      </c>
    </row>
    <row r="42" spans="2:16" ht="36" customHeight="1" x14ac:dyDescent="0.2">
      <c r="B42" s="5">
        <v>8</v>
      </c>
      <c r="C42" s="45" t="s">
        <v>64</v>
      </c>
      <c r="D42" s="45"/>
      <c r="E42" s="44" t="s">
        <v>44</v>
      </c>
      <c r="F42" s="44"/>
      <c r="G42" s="6">
        <v>30</v>
      </c>
      <c r="H42" s="6">
        <v>414.99</v>
      </c>
      <c r="I42" s="44" t="s">
        <v>15</v>
      </c>
      <c r="J42" s="44"/>
      <c r="K42" s="44"/>
      <c r="L42" s="6">
        <f t="shared" si="0"/>
        <v>30</v>
      </c>
      <c r="M42" s="7">
        <v>1</v>
      </c>
      <c r="N42" s="8">
        <f t="shared" si="1"/>
        <v>414.99</v>
      </c>
    </row>
    <row r="43" spans="2:16" ht="65.25" customHeight="1" x14ac:dyDescent="0.2">
      <c r="B43" s="5">
        <v>9</v>
      </c>
      <c r="C43" s="45" t="s">
        <v>65</v>
      </c>
      <c r="D43" s="45"/>
      <c r="E43" s="44" t="s">
        <v>44</v>
      </c>
      <c r="F43" s="44"/>
      <c r="G43" s="6">
        <v>20</v>
      </c>
      <c r="H43" s="6">
        <v>237.14</v>
      </c>
      <c r="I43" s="44" t="s">
        <v>47</v>
      </c>
      <c r="J43" s="44"/>
      <c r="K43" s="44"/>
      <c r="L43" s="6">
        <f t="shared" si="0"/>
        <v>20</v>
      </c>
      <c r="M43" s="7">
        <v>1</v>
      </c>
      <c r="N43" s="8">
        <f t="shared" si="1"/>
        <v>237.14</v>
      </c>
    </row>
    <row r="44" spans="2:16" ht="34.5" customHeight="1" x14ac:dyDescent="0.2">
      <c r="B44" s="5">
        <v>10</v>
      </c>
      <c r="C44" s="45" t="s">
        <v>45</v>
      </c>
      <c r="D44" s="45"/>
      <c r="E44" s="44" t="s">
        <v>67</v>
      </c>
      <c r="F44" s="44"/>
      <c r="G44" s="6">
        <v>30</v>
      </c>
      <c r="H44" s="6">
        <v>355.71</v>
      </c>
      <c r="I44" s="44" t="s">
        <v>15</v>
      </c>
      <c r="J44" s="44"/>
      <c r="K44" s="44"/>
      <c r="L44" s="6">
        <f t="shared" si="0"/>
        <v>300</v>
      </c>
      <c r="M44" s="7">
        <v>10</v>
      </c>
      <c r="N44" s="8">
        <f t="shared" si="1"/>
        <v>3557.1</v>
      </c>
    </row>
    <row r="45" spans="2:16" ht="54" customHeight="1" x14ac:dyDescent="0.2">
      <c r="B45" s="5">
        <v>11</v>
      </c>
      <c r="C45" s="45" t="s">
        <v>42</v>
      </c>
      <c r="D45" s="45"/>
      <c r="E45" s="44" t="s">
        <v>55</v>
      </c>
      <c r="F45" s="44"/>
      <c r="G45" s="6">
        <v>30</v>
      </c>
      <c r="H45" s="6">
        <v>355.71</v>
      </c>
      <c r="I45" s="44" t="s">
        <v>15</v>
      </c>
      <c r="J45" s="44"/>
      <c r="K45" s="44"/>
      <c r="L45" s="6">
        <f t="shared" si="0"/>
        <v>360</v>
      </c>
      <c r="M45" s="7">
        <v>12</v>
      </c>
      <c r="N45" s="8">
        <f t="shared" si="1"/>
        <v>4268.5199999999995</v>
      </c>
    </row>
    <row r="46" spans="2:16" ht="81" customHeight="1" x14ac:dyDescent="0.2">
      <c r="B46" s="5">
        <v>12</v>
      </c>
      <c r="C46" s="43" t="s">
        <v>56</v>
      </c>
      <c r="D46" s="43"/>
      <c r="E46" s="44" t="s">
        <v>57</v>
      </c>
      <c r="F46" s="44"/>
      <c r="G46" s="6">
        <v>30</v>
      </c>
      <c r="H46" s="6">
        <v>355.71</v>
      </c>
      <c r="I46" s="44" t="s">
        <v>15</v>
      </c>
      <c r="J46" s="44"/>
      <c r="K46" s="44"/>
      <c r="L46" s="6">
        <f t="shared" si="0"/>
        <v>120</v>
      </c>
      <c r="M46" s="7">
        <v>4</v>
      </c>
      <c r="N46" s="8">
        <f t="shared" si="1"/>
        <v>1422.84</v>
      </c>
    </row>
    <row r="47" spans="2:16" ht="49.5" customHeight="1" x14ac:dyDescent="0.2">
      <c r="B47" s="5">
        <v>13</v>
      </c>
      <c r="C47" s="43" t="s">
        <v>58</v>
      </c>
      <c r="D47" s="43"/>
      <c r="E47" s="44" t="s">
        <v>37</v>
      </c>
      <c r="F47" s="44"/>
      <c r="G47" s="6">
        <v>30</v>
      </c>
      <c r="H47" s="6">
        <v>355.71</v>
      </c>
      <c r="I47" s="44" t="s">
        <v>15</v>
      </c>
      <c r="J47" s="44"/>
      <c r="K47" s="44"/>
      <c r="L47" s="6">
        <f t="shared" si="0"/>
        <v>240</v>
      </c>
      <c r="M47" s="7">
        <v>8</v>
      </c>
      <c r="N47" s="13">
        <f t="shared" si="1"/>
        <v>2845.68</v>
      </c>
      <c r="P47" s="12"/>
    </row>
    <row r="48" spans="2:16" ht="39.75" customHeight="1" x14ac:dyDescent="0.2">
      <c r="B48" s="5">
        <v>14</v>
      </c>
      <c r="C48" s="43" t="s">
        <v>21</v>
      </c>
      <c r="D48" s="43"/>
      <c r="E48" s="44" t="s">
        <v>54</v>
      </c>
      <c r="F48" s="44"/>
      <c r="G48" s="6">
        <v>20</v>
      </c>
      <c r="H48" s="6">
        <v>237.14</v>
      </c>
      <c r="I48" s="44" t="s">
        <v>15</v>
      </c>
      <c r="J48" s="44"/>
      <c r="K48" s="44"/>
      <c r="L48" s="6">
        <f t="shared" si="0"/>
        <v>80</v>
      </c>
      <c r="M48" s="7">
        <v>4</v>
      </c>
      <c r="N48" s="13">
        <f t="shared" si="1"/>
        <v>948.56</v>
      </c>
      <c r="P48" s="12"/>
    </row>
    <row r="49" spans="2:16" ht="20.25" customHeight="1" x14ac:dyDescent="0.2">
      <c r="B49" s="47" t="s">
        <v>22</v>
      </c>
      <c r="C49" s="47"/>
      <c r="D49" s="47"/>
      <c r="E49" s="47"/>
      <c r="F49" s="47"/>
      <c r="G49" s="47"/>
      <c r="H49" s="47"/>
      <c r="I49" s="47"/>
      <c r="J49" s="47"/>
      <c r="K49" s="47"/>
      <c r="L49" s="14">
        <f>L41+L40+L39+L37+L36+L48+L45+L21+L20+L29+L23+L22+L38+L26+L46+L31+L32+L33+L44+L35+L42+L43+L24+L28+L47</f>
        <v>5045</v>
      </c>
      <c r="M49" s="14">
        <f>M20+M21+M22+M23+M29+M36+M37+M38+M39+M40+M41+M45+M48+M26+M46+M31+M32+M33+M44+M35+M42+M43+M24+M28+M47</f>
        <v>308</v>
      </c>
      <c r="N49" s="24">
        <f>N20+N21+N22+N23+N26+N29+N36+N37+N38+N39+N40+N41+N45+N46+N48+N31+N32+N33+N44+N35+N42+N43+N24+N28+N47</f>
        <v>61342.689999999988</v>
      </c>
      <c r="O49" s="15"/>
      <c r="P49" s="15"/>
    </row>
    <row r="50" spans="2:16" s="16" customFormat="1" ht="21" customHeight="1" x14ac:dyDescent="0.2">
      <c r="B50" s="48" t="s">
        <v>23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2:16" ht="15" customHeight="1" x14ac:dyDescent="0.2">
      <c r="B51" s="49" t="s">
        <v>24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</row>
    <row r="52" spans="2:16" ht="22.5" customHeight="1" x14ac:dyDescent="0.2">
      <c r="B52" s="50" t="s">
        <v>25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</row>
    <row r="53" spans="2:16" ht="31.5" customHeight="1" x14ac:dyDescent="0.2">
      <c r="B53" s="50" t="s">
        <v>26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</row>
    <row r="54" spans="2:16" ht="26.25" customHeight="1" x14ac:dyDescent="0.2">
      <c r="B54" s="50" t="s">
        <v>27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</row>
    <row r="55" spans="2:16" ht="24" customHeight="1" x14ac:dyDescent="0.2">
      <c r="B55" s="54" t="s">
        <v>75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2:16" ht="23.25" customHeight="1" x14ac:dyDescent="0.2">
      <c r="B56" s="35" t="s">
        <v>28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</row>
    <row r="57" spans="2:16" ht="23.25" customHeight="1" x14ac:dyDescent="0.2">
      <c r="B57" s="50" t="s">
        <v>29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</row>
    <row r="58" spans="2:16" ht="23.25" customHeight="1" x14ac:dyDescent="0.2">
      <c r="B58" s="50" t="s">
        <v>30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</row>
    <row r="59" spans="2:16" ht="49.5" customHeight="1" x14ac:dyDescent="0.2">
      <c r="B59" s="55" t="s">
        <v>31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 spans="2:16" ht="15" customHeight="1" x14ac:dyDescent="0.2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2:16" ht="23.25" customHeight="1" x14ac:dyDescent="0.2">
      <c r="B61" s="35" t="s">
        <v>32</v>
      </c>
      <c r="C61" s="35"/>
      <c r="D61" s="35"/>
      <c r="E61" s="56"/>
      <c r="F61" s="56"/>
      <c r="G61" s="56"/>
      <c r="H61" s="18"/>
      <c r="I61" s="19"/>
      <c r="J61" s="19"/>
      <c r="K61" s="20"/>
      <c r="L61" s="57" t="s">
        <v>68</v>
      </c>
      <c r="M61" s="57"/>
      <c r="N61" s="21"/>
    </row>
    <row r="62" spans="2:16" ht="18.75" customHeight="1" x14ac:dyDescent="0.2">
      <c r="B62" s="22"/>
      <c r="C62" s="22"/>
      <c r="D62" s="22"/>
      <c r="E62" s="58"/>
      <c r="F62" s="58"/>
      <c r="G62" s="58"/>
      <c r="H62" s="23"/>
      <c r="I62" s="52" t="s">
        <v>33</v>
      </c>
      <c r="J62" s="52"/>
      <c r="K62" s="23"/>
      <c r="L62" s="52" t="s">
        <v>76</v>
      </c>
      <c r="M62" s="52"/>
      <c r="N62" s="21"/>
    </row>
    <row r="63" spans="2:16" ht="18.75" customHeight="1" x14ac:dyDescent="0.2">
      <c r="B63" s="22"/>
      <c r="C63" s="22"/>
      <c r="D63" s="22"/>
      <c r="E63" s="18"/>
      <c r="F63" s="18"/>
      <c r="G63" s="18"/>
      <c r="H63" s="18"/>
      <c r="I63" s="18"/>
      <c r="J63" s="18"/>
      <c r="K63" s="18"/>
      <c r="L63" s="18"/>
      <c r="M63" s="18"/>
    </row>
    <row r="64" spans="2:16" ht="19.5" customHeight="1" x14ac:dyDescent="0.2">
      <c r="B64" s="35" t="s">
        <v>34</v>
      </c>
      <c r="C64" s="35"/>
      <c r="D64" s="35"/>
      <c r="E64" s="18"/>
      <c r="F64" s="18"/>
      <c r="G64" s="18"/>
      <c r="H64" s="18"/>
      <c r="I64" s="19"/>
      <c r="J64" s="19"/>
      <c r="K64" s="51"/>
      <c r="L64" s="51"/>
      <c r="M64" s="51"/>
      <c r="N64" s="18"/>
    </row>
    <row r="65" spans="2:14" ht="12" customHeight="1" x14ac:dyDescent="0.2">
      <c r="E65" s="18"/>
      <c r="F65" s="18"/>
      <c r="G65" s="18"/>
      <c r="H65" s="23"/>
      <c r="I65" s="52" t="s">
        <v>33</v>
      </c>
      <c r="J65" s="52"/>
      <c r="K65" s="23"/>
      <c r="L65" s="52" t="s">
        <v>76</v>
      </c>
      <c r="M65" s="52"/>
      <c r="N65" s="23"/>
    </row>
    <row r="67" spans="2:14" ht="73.5" customHeight="1" x14ac:dyDescent="0.2"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32"/>
    </row>
  </sheetData>
  <mergeCells count="123">
    <mergeCell ref="B64:D64"/>
    <mergeCell ref="K64:M64"/>
    <mergeCell ref="I65:J65"/>
    <mergeCell ref="L65:M65"/>
    <mergeCell ref="B67:N67"/>
    <mergeCell ref="B55:N55"/>
    <mergeCell ref="B56:N56"/>
    <mergeCell ref="B57:N57"/>
    <mergeCell ref="B58:N58"/>
    <mergeCell ref="B59:N59"/>
    <mergeCell ref="B61:D61"/>
    <mergeCell ref="E61:G61"/>
    <mergeCell ref="L61:M61"/>
    <mergeCell ref="E62:G62"/>
    <mergeCell ref="I62:J62"/>
    <mergeCell ref="L62:M62"/>
    <mergeCell ref="C48:D48"/>
    <mergeCell ref="E48:F48"/>
    <mergeCell ref="I48:K48"/>
    <mergeCell ref="B49:K49"/>
    <mergeCell ref="B50:N50"/>
    <mergeCell ref="B51:N51"/>
    <mergeCell ref="B52:N52"/>
    <mergeCell ref="B53:N53"/>
    <mergeCell ref="B54:N54"/>
    <mergeCell ref="C45:D45"/>
    <mergeCell ref="E45:F45"/>
    <mergeCell ref="I45:K45"/>
    <mergeCell ref="C46:D46"/>
    <mergeCell ref="E46:F46"/>
    <mergeCell ref="I46:K46"/>
    <mergeCell ref="C47:D47"/>
    <mergeCell ref="E47:F47"/>
    <mergeCell ref="I47:K47"/>
    <mergeCell ref="C42:D42"/>
    <mergeCell ref="E42:F42"/>
    <mergeCell ref="I42:K42"/>
    <mergeCell ref="C43:D43"/>
    <mergeCell ref="E43:F43"/>
    <mergeCell ref="I43:K43"/>
    <mergeCell ref="C44:D44"/>
    <mergeCell ref="E44:F44"/>
    <mergeCell ref="I44:K44"/>
    <mergeCell ref="C39:D39"/>
    <mergeCell ref="E39:F39"/>
    <mergeCell ref="I39:K39"/>
    <mergeCell ref="C40:D40"/>
    <mergeCell ref="E40:F40"/>
    <mergeCell ref="I40:K40"/>
    <mergeCell ref="C41:D41"/>
    <mergeCell ref="E41:F41"/>
    <mergeCell ref="I41:K41"/>
    <mergeCell ref="C36:D36"/>
    <mergeCell ref="E36:F36"/>
    <mergeCell ref="I36:K36"/>
    <mergeCell ref="C37:D37"/>
    <mergeCell ref="E37:F37"/>
    <mergeCell ref="I37:K37"/>
    <mergeCell ref="C38:D38"/>
    <mergeCell ref="E38:F38"/>
    <mergeCell ref="I38:K38"/>
    <mergeCell ref="C32:D32"/>
    <mergeCell ref="E32:F32"/>
    <mergeCell ref="I32:K32"/>
    <mergeCell ref="C33:D33"/>
    <mergeCell ref="E33:F33"/>
    <mergeCell ref="I33:K33"/>
    <mergeCell ref="B34:N34"/>
    <mergeCell ref="C35:D35"/>
    <mergeCell ref="E35:F35"/>
    <mergeCell ref="I35:K35"/>
    <mergeCell ref="B27:N27"/>
    <mergeCell ref="C28:D28"/>
    <mergeCell ref="E28:F28"/>
    <mergeCell ref="I28:K28"/>
    <mergeCell ref="C29:D29"/>
    <mergeCell ref="E29:F29"/>
    <mergeCell ref="I29:K29"/>
    <mergeCell ref="B30:N30"/>
    <mergeCell ref="C31:D31"/>
    <mergeCell ref="E31:F31"/>
    <mergeCell ref="I31:K31"/>
    <mergeCell ref="C23:D23"/>
    <mergeCell ref="E23:F23"/>
    <mergeCell ref="I23:K23"/>
    <mergeCell ref="C24:D24"/>
    <mergeCell ref="E24:F24"/>
    <mergeCell ref="I24:K24"/>
    <mergeCell ref="B25:N25"/>
    <mergeCell ref="C26:D26"/>
    <mergeCell ref="E26:F26"/>
    <mergeCell ref="I26:K26"/>
    <mergeCell ref="B19:N19"/>
    <mergeCell ref="C20:D20"/>
    <mergeCell ref="E20:F20"/>
    <mergeCell ref="I20:K20"/>
    <mergeCell ref="C21:D21"/>
    <mergeCell ref="E21:F21"/>
    <mergeCell ref="I21:K21"/>
    <mergeCell ref="C22:D22"/>
    <mergeCell ref="E22:F22"/>
    <mergeCell ref="I22:K22"/>
    <mergeCell ref="B13:N13"/>
    <mergeCell ref="B14:N14"/>
    <mergeCell ref="B15:N15"/>
    <mergeCell ref="B16:N16"/>
    <mergeCell ref="B17:B18"/>
    <mergeCell ref="C17:D18"/>
    <mergeCell ref="E17:F18"/>
    <mergeCell ref="G17:G18"/>
    <mergeCell ref="H17:H18"/>
    <mergeCell ref="I17:K18"/>
    <mergeCell ref="L17:M17"/>
    <mergeCell ref="N17:N18"/>
    <mergeCell ref="B1:N1"/>
    <mergeCell ref="B2:N2"/>
    <mergeCell ref="D3:M3"/>
    <mergeCell ref="B5:N5"/>
    <mergeCell ref="B6:D6"/>
    <mergeCell ref="I6:N6"/>
    <mergeCell ref="B7:N10"/>
    <mergeCell ref="B11:N11"/>
    <mergeCell ref="B12:N12"/>
  </mergeCells>
  <pageMargins left="0.7" right="0.7" top="0.75" bottom="0.75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июн26</vt:lpstr>
      <vt:lpstr>июн26!Область_печати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New</dc:creator>
  <dc:description/>
  <cp:lastModifiedBy>birdfromsky</cp:lastModifiedBy>
  <cp:revision>1</cp:revision>
  <cp:lastPrinted>2026-07-01T11:19:40Z</cp:lastPrinted>
  <dcterms:created xsi:type="dcterms:W3CDTF">2006-09-28T05:33:49Z</dcterms:created>
  <dcterms:modified xsi:type="dcterms:W3CDTF">2026-09-04T17:57:59Z</dcterms:modified>
  <dc:language>ru-RU</dc:language>
</cp:coreProperties>
</file>